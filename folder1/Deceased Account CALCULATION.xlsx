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6"/>
  <workbookPr/>
  <mc:AlternateContent xmlns:mc="http://schemas.openxmlformats.org/markup-compatibility/2006">
    <mc:Choice Requires="x15">
      <x15ac:absPath xmlns:x15ac="http://schemas.microsoft.com/office/spreadsheetml/2010/11/ac" url="E:\MIRB RM\MIRPUR BR. MOMOTAZ\FDR\Deceased Account\"/>
    </mc:Choice>
  </mc:AlternateContent>
  <xr:revisionPtr revIDLastSave="0" documentId="13_ncr:1_{1CB2A8F3-6236-47FD-B350-1220F00BE156}" xr6:coauthVersionLast="36" xr6:coauthVersionMax="36" xr10:uidLastSave="{00000000-0000-0000-0000-000000000000}"/>
  <bookViews>
    <workbookView xWindow="0" yWindow="0" windowWidth="20490" windowHeight="7755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Sheet1!$A$22:$J$27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9" i="2" l="1"/>
  <c r="A13" i="4" l="1"/>
</calcChain>
</file>

<file path=xl/sharedStrings.xml><?xml version="1.0" encoding="utf-8"?>
<sst xmlns="http://schemas.openxmlformats.org/spreadsheetml/2006/main" count="393" uniqueCount="134">
  <si>
    <t>FDR</t>
  </si>
  <si>
    <t xml:space="preserve">Interest Payable(If any)   (b) </t>
  </si>
  <si>
    <t>Adjustments (if any)   ©</t>
  </si>
  <si>
    <t xml:space="preserve">Net Amount payable E = a+b-c-d </t>
  </si>
  <si>
    <t>Relationship with Applicant</t>
  </si>
  <si>
    <t>Percentage of Share</t>
  </si>
  <si>
    <t>Annexures</t>
  </si>
  <si>
    <t>Principal Amount   (a)</t>
  </si>
  <si>
    <t>Raquesting approval for release of fund favouring Nominee of a deceased account.</t>
  </si>
  <si>
    <t>Name of Nominee</t>
  </si>
  <si>
    <t>Amount payable to nominee</t>
  </si>
  <si>
    <t>Taxes/Excise Duty  (d)</t>
  </si>
  <si>
    <t>SON</t>
  </si>
  <si>
    <t>FDR NO.3579113        DT.05.08.2018</t>
  </si>
  <si>
    <t xml:space="preserve">3,166.04(premature interest @3.5%  for 10 month ) </t>
  </si>
  <si>
    <t>1,11,099.44</t>
  </si>
  <si>
    <t>Mrs. Farzana Fatema Panna</t>
  </si>
  <si>
    <t>wife</t>
  </si>
  <si>
    <t>Total: TK. One Lac Eleven  Thousand Ninty Nine and paisa Forty Four Only.</t>
  </si>
  <si>
    <t>FDR NO.3547273        DT.30.11.2017</t>
  </si>
  <si>
    <t>1,18,015.71</t>
  </si>
  <si>
    <t>1,17,415.71</t>
  </si>
  <si>
    <t>Ex.duty-(2017-2020) -600.00 (150x4)</t>
  </si>
  <si>
    <t>Mr. Manzur Murshed</t>
  </si>
  <si>
    <t>FDR NO.3610006       DT.11.04.2019</t>
  </si>
  <si>
    <t>NIL</t>
  </si>
  <si>
    <t>Ex.duty-2019-2020 - 300.00 (150x2)+ 316.60(10% tax of premature interest) total -Tk.616.60</t>
  </si>
  <si>
    <t xml:space="preserve">10500.00(premature interest @3.5%  for 09 month ) </t>
  </si>
  <si>
    <t>Ex.duty-2019-2020 - 300.00 (150x2)+ 1575(15% tax of premature interest) total -1875</t>
  </si>
  <si>
    <t>DAUGHTER</t>
  </si>
  <si>
    <t>204312.5X2=408625</t>
  </si>
  <si>
    <t>Total: TK. Four  Lac Eight  Thousand Six Hundred Twenty Five Only.</t>
  </si>
  <si>
    <t>EQUAL (50% EACH)</t>
  </si>
  <si>
    <t>SHAJEDA JAHAN &amp; SHAJIA JAHAN SHIJA, MINOR (GUARDIAN MS. PARUL AKTHER FOR MINOR NOMINEE)</t>
  </si>
  <si>
    <t xml:space="preserve">315.77(premature interest @3.5%  for 02 month ) </t>
  </si>
  <si>
    <t xml:space="preserve">31.57(10% tax of premature interest) </t>
  </si>
  <si>
    <t>Total: TK. One Lac Seventy One Thousand Eight Hundred Thirty One and paisa Sixty Seven Only.</t>
  </si>
  <si>
    <t>FDR NO.3579123        DT.09.08.2018</t>
  </si>
  <si>
    <t xml:space="preserve">11,714.35(premature interest @3.5%  for 10 month ) </t>
  </si>
  <si>
    <t>Ex.duty-2018-2020 - 450.00 (150x3)+ 1171.43(10% tax of premature interest) total -Tk.1621.43</t>
  </si>
  <si>
    <t>Mr. khaled Murshed Adnan</t>
  </si>
  <si>
    <t>Total: TK. Four Lac Eleven  Thousand Seven Hundred Twenty Seven and paisa Ninty Two Only.</t>
  </si>
  <si>
    <t>Wife</t>
  </si>
  <si>
    <t>MSDS NO.4015-224379-281        DT.06.08.2019</t>
  </si>
  <si>
    <t>SHAJEDA JAHAN</t>
  </si>
  <si>
    <t>Total: TK. Fifty   Thousand  Only.</t>
  </si>
  <si>
    <t>MSDS NO.4015-576616-281        DT.06.01.2019</t>
  </si>
  <si>
    <t>Tax 15% 74.81</t>
  </si>
  <si>
    <t>Afroza Rahman</t>
  </si>
  <si>
    <t>Total: TK. Eighteen  Thousand Four Hundred Twenty Three &amp; Ps Ninty Four Only.</t>
  </si>
  <si>
    <t>Momtaj Begum</t>
  </si>
  <si>
    <t>MSDS NO.4015-066244-221        DT.16.08.2018</t>
  </si>
  <si>
    <t>1,37,840.00</t>
  </si>
  <si>
    <t>10% TAX 624.33 EX.DUTY 2020-150 TOTAL=774.33</t>
  </si>
  <si>
    <t>1,43,308.97</t>
  </si>
  <si>
    <t>Total: TK. One Lac Forty Three  Thousand Three Hundred Eight  &amp; Ps Ninty Seven Only.</t>
  </si>
  <si>
    <t>FDR NO. 3547336        DT.28.01.2018</t>
  </si>
  <si>
    <t>WIFE</t>
  </si>
  <si>
    <t>Tahmina Rahman</t>
  </si>
  <si>
    <t>FDR NO.3547340       DT.30.01.2018</t>
  </si>
  <si>
    <t>Tax-291.66</t>
  </si>
  <si>
    <t>premature interest @3.5% for 2month- Tk.2916.66</t>
  </si>
  <si>
    <t>Husband</t>
  </si>
  <si>
    <t>Total: TK. Seventeen lac ninty nine thousand three hundred forty one &amp; ps twenty only.</t>
  </si>
  <si>
    <t>MSDS NO.4015-433510-292        DT.29.05.2014</t>
  </si>
  <si>
    <t>15% TAXTK. 12516.56 EX.DUTY 2021-TK.500 TOTAL=TK.13,016.56</t>
  </si>
  <si>
    <t>Rahima Khatun</t>
  </si>
  <si>
    <t>Total: TK. Eight  Lac Seventy  Thousand Four  Hundred Twenty Seven  Only.</t>
  </si>
  <si>
    <t>FDR NO.3490889       DT.13.04.2016</t>
  </si>
  <si>
    <t>Md. Golam Mustafa</t>
  </si>
  <si>
    <t>FDR NO.3663972       DT.23.04.2020</t>
  </si>
  <si>
    <t>FDR NO.3685835       DT.06.10.2020</t>
  </si>
  <si>
    <t>Total: TK. Nine lac ninty eight thousand two hundred twenty two &amp; ps eighty one Only.</t>
  </si>
  <si>
    <t>FDR NO.3490873       DT.06.04.2016</t>
  </si>
  <si>
    <t>Ex.duty-2017-2021 (150x5)=Tk.750.00</t>
  </si>
  <si>
    <t>Ex..Duty -2020-2021  (150x2)=Tk.300.00</t>
  </si>
  <si>
    <t>Ex.Duty -2020-2021 (500x2)=Tk.1000.00</t>
  </si>
  <si>
    <t>N/A</t>
  </si>
  <si>
    <t>FDR NO.3520900       DT.05.03.2017</t>
  </si>
  <si>
    <t>MD.NASIM</t>
  </si>
  <si>
    <t>NEPHEW</t>
  </si>
  <si>
    <t>Total: TK. Twenty Two Lac Twenty Six Thousand Eight Hundred Eighty One &amp; PS Twenty Five Only.</t>
  </si>
  <si>
    <t>FDR NO.3757658       DT.15.06.2022</t>
  </si>
  <si>
    <t>28,00,000.00</t>
  </si>
  <si>
    <t xml:space="preserve"> EX.DUTY 2022-TK.3000.00</t>
  </si>
  <si>
    <t>Shekh Nawshad Niaz</t>
  </si>
  <si>
    <t>Total: TK. Twenty seven  lac  twenty five  thousand  six  hundred  only.</t>
  </si>
  <si>
    <t>FDR NO.3609936       DT.13.02.2019</t>
  </si>
  <si>
    <t>MONOWARA KHATUN</t>
  </si>
  <si>
    <t>FDR NO.3623977       DT.16.09.2019</t>
  </si>
  <si>
    <t>FDR NO.3547410       DT.15.03.2018</t>
  </si>
  <si>
    <t>premature interest @2.5% for 1month- Tk. 823.80</t>
  </si>
  <si>
    <t>10% Tax-Tk. 82.38 &amp; Ex.duty-2018-2023 150x6=900.00 Total-982.38</t>
  </si>
  <si>
    <t>Nasima Yasmin</t>
  </si>
  <si>
    <t>Total: TK. Three lac ninty six  thousand one hundred sixty four &amp; Ps twenty eight only.</t>
  </si>
  <si>
    <t>premature interest @2.50 for 4month- Tk. 1851.63</t>
  </si>
  <si>
    <t>10% Tax-Tk. 185.16 &amp; Ex.duty-2021-2023 150x3=450.00 Total-635.16</t>
  </si>
  <si>
    <t>premature interest @2.50 for 5month- Tk. 2577.92</t>
  </si>
  <si>
    <t>10% Tax-Tk. 257.79 &amp;  Ex.duty-2019-2023 150x5=750.00 Total-1007.79</t>
  </si>
  <si>
    <t>Total: TK.Four lac seventy two  thousand four  hundred sixty one  &amp; Ps eighty three Only.</t>
  </si>
  <si>
    <t>A/C NO</t>
  </si>
  <si>
    <t>4015-057228-300</t>
  </si>
  <si>
    <t>5,22,230.27</t>
  </si>
  <si>
    <t>Rahatun Nessa</t>
  </si>
  <si>
    <t>5,20,367.77</t>
  </si>
  <si>
    <t>Total: TK. Five  lac twenty thousand three  hundredsixty seven  &amp; Ps seventy seven Only.</t>
  </si>
  <si>
    <t>Unrealized A/C Maintenance Fee-287.50  
Unrealized Excise Duty-500.00  Management Decision 575.00
Ex duty 2024-500.00 
Total-1862.50</t>
  </si>
  <si>
    <t>3000x3=9000</t>
  </si>
  <si>
    <t xml:space="preserve">Sadia-Tun-Noor Sunny </t>
  </si>
  <si>
    <t>MIDS NO.3793342       DT.03.07.2023</t>
  </si>
  <si>
    <t xml:space="preserve">Mother </t>
  </si>
  <si>
    <t>23,91,000.00</t>
  </si>
  <si>
    <t>Total: TK. Twenty Three lac ninty one thousand only.</t>
  </si>
  <si>
    <t>FDR NO.3888450        DT.05.01.2025</t>
  </si>
  <si>
    <t>Nishat Fariha</t>
  </si>
  <si>
    <t>Daughter</t>
  </si>
  <si>
    <t>FDR NO.3937294        DT.09.07.2025</t>
  </si>
  <si>
    <t>Tk.7,37,300.00</t>
  </si>
  <si>
    <t>Tk.4,21,185.00</t>
  </si>
  <si>
    <t>Tk.11,58,485.00</t>
  </si>
  <si>
    <t>Total: TK.Eleven Lac fifty eight thousand four  hundred eighty five Only.</t>
  </si>
  <si>
    <t>DDS</t>
  </si>
  <si>
    <t>DDS NO.3453384        DT.07.04.2019</t>
  </si>
  <si>
    <t>Tk.5,00,000.00</t>
  </si>
  <si>
    <t>TK.500,000.00</t>
  </si>
  <si>
    <t>Shahanaz Akter</t>
  </si>
  <si>
    <t>Tk.9,46,235.00</t>
  </si>
  <si>
    <t>Total: TK.Nine lac forty six thousand two hundred thirty  five Only.</t>
  </si>
  <si>
    <t>10% TAXTK.50,000.00 EX. DUTY TK.3650.00 (150+500X7), PO COMMISSION-115.00 TOTAL=53,765.00</t>
  </si>
  <si>
    <t>Please be informed that the amount of DDS No.3453384 has been transfer to  DAD OTHERS A/C No.4015-832215-050 dated.07.04.2026 as because the DDS has already been matured.</t>
  </si>
  <si>
    <t>Tk.7,37,800.00</t>
  </si>
  <si>
    <t xml:space="preserve"> EX. DUTY TK.500.00 </t>
  </si>
  <si>
    <t>Tk.4,21,600.00</t>
  </si>
  <si>
    <t xml:space="preserve"> EX.DUTY 2025 &amp; 2026 TK.150x2=300 &amp;  PO Commission-115.00 TOTAL=TK.415.00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</si>
</sst>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0" fillId="0" borderId="0" xfId="0" applyFont="1"/>
    <xf numFmtId="0" fontId="0" fillId="0" borderId="2" xfId="0" applyFont="1" applyBorder="1"/>
    <xf numFmtId="0" fontId="0" fillId="0" borderId="3" xfId="0" applyFont="1" applyBorder="1"/>
    <xf numFmtId="43" fontId="0" fillId="0" borderId="1" xfId="1" applyFont="1" applyBorder="1"/>
    <xf numFmtId="0" fontId="0" fillId="0" borderId="1" xfId="0" applyFont="1" applyBorder="1" applyAlignment="1">
      <alignment horizontal="center" vertical="center" wrapText="1"/>
    </xf>
    <xf numFmtId="4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Border="1"/>
    <xf numFmtId="43" fontId="0" fillId="0" borderId="0" xfId="1" applyFont="1" applyBorder="1" applyAlignment="1">
      <alignment horizontal="center" vertical="center"/>
    </xf>
    <xf numFmtId="4" fontId="0" fillId="0" borderId="1" xfId="0" applyNumberFormat="1" applyFont="1" applyBorder="1" applyAlignment="1">
      <alignment horizontal="center" vertical="center"/>
    </xf>
    <xf numFmtId="43" fontId="0" fillId="0" borderId="0" xfId="0" applyNumberFormat="1"/>
    <xf numFmtId="0" fontId="0" fillId="0" borderId="1" xfId="0" applyFont="1" applyBorder="1"/>
    <xf numFmtId="43" fontId="0" fillId="0" borderId="1" xfId="0" applyNumberFormat="1" applyBorder="1"/>
    <xf numFmtId="0" fontId="0" fillId="0" borderId="1" xfId="0" applyFont="1" applyBorder="1" applyAlignment="1">
      <alignment horizontal="center" vertical="top" wrapText="1"/>
    </xf>
    <xf numFmtId="43" fontId="0" fillId="0" borderId="1" xfId="1" applyFont="1" applyBorder="1" applyAlignment="1">
      <alignment horizontal="center" vertical="center" wrapText="1"/>
    </xf>
    <xf numFmtId="0" fontId="4" fillId="0" borderId="0" xfId="0" applyFont="1"/>
    <xf numFmtId="0" fontId="4" fillId="0" borderId="2" xfId="0" applyFont="1" applyBorder="1"/>
    <xf numFmtId="0" fontId="4" fillId="0" borderId="3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J53"/>
  <sheetViews>
    <sheetView topLeftCell="A32" workbookViewId="0">
      <selection activeCell="A36" sqref="A36:K44"/>
    </sheetView>
  </sheetViews>
  <sheetFormatPr defaultRowHeight="15" x14ac:dyDescent="0.25"/>
  <cols>
    <col min="1" max="1" width="13.42578125" customWidth="1"/>
    <col min="2" max="2" width="11" customWidth="1"/>
    <col min="3" max="3" width="18.42578125" customWidth="1"/>
    <col min="4" max="4" width="9.140625" customWidth="1"/>
    <col min="5" max="5" width="20.7109375" customWidth="1"/>
    <col min="6" max="6" width="11.42578125" customWidth="1"/>
    <col min="7" max="7" width="16.7109375" customWidth="1"/>
    <col min="8" max="8" width="12" customWidth="1"/>
    <col min="9" max="9" width="18" customWidth="1"/>
    <col min="10" max="10" width="18.42578125" customWidth="1"/>
  </cols>
  <sheetData>
    <row r="7" spans="1:10" x14ac:dyDescent="0.25">
      <c r="A7" s="5" t="s">
        <v>8</v>
      </c>
      <c r="B7" s="5"/>
      <c r="C7" s="5"/>
      <c r="D7" s="5"/>
      <c r="E7" s="5"/>
      <c r="F7" s="5"/>
      <c r="G7" s="5"/>
      <c r="H7" s="5"/>
      <c r="I7" s="1"/>
      <c r="J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1" t="s">
        <v>6</v>
      </c>
    </row>
    <row r="9" spans="1:10" ht="62.25" customHeight="1" x14ac:dyDescent="0.25">
      <c r="A9" s="2" t="s">
        <v>0</v>
      </c>
      <c r="B9" s="3" t="s">
        <v>7</v>
      </c>
      <c r="C9" s="3" t="s">
        <v>1</v>
      </c>
      <c r="D9" s="3" t="s">
        <v>2</v>
      </c>
      <c r="E9" s="3" t="s">
        <v>11</v>
      </c>
      <c r="F9" s="3" t="s">
        <v>3</v>
      </c>
      <c r="G9" s="3" t="s">
        <v>9</v>
      </c>
      <c r="H9" s="3" t="s">
        <v>4</v>
      </c>
      <c r="I9" s="3" t="s">
        <v>5</v>
      </c>
      <c r="J9" s="3" t="s">
        <v>10</v>
      </c>
    </row>
    <row r="10" spans="1:10" ht="123.75" customHeight="1" x14ac:dyDescent="0.25">
      <c r="A10" s="9" t="s">
        <v>56</v>
      </c>
      <c r="B10" s="10">
        <v>150000</v>
      </c>
      <c r="C10" s="10" t="s">
        <v>27</v>
      </c>
      <c r="D10" s="11" t="s">
        <v>25</v>
      </c>
      <c r="E10" s="12" t="s">
        <v>28</v>
      </c>
      <c r="F10" s="13">
        <v>408625</v>
      </c>
      <c r="G10" s="9" t="s">
        <v>33</v>
      </c>
      <c r="H10" s="11" t="s">
        <v>29</v>
      </c>
      <c r="I10" s="14" t="s">
        <v>32</v>
      </c>
      <c r="J10" s="13" t="s">
        <v>30</v>
      </c>
    </row>
    <row r="11" spans="1:10" ht="15.75" thickBot="1" x14ac:dyDescent="0.3">
      <c r="A11" s="6" t="s">
        <v>31</v>
      </c>
      <c r="B11" s="7"/>
      <c r="C11" s="7"/>
      <c r="D11" s="7"/>
      <c r="E11" s="7"/>
      <c r="F11" s="7"/>
      <c r="G11" s="7"/>
      <c r="H11" s="7"/>
      <c r="I11" s="7"/>
      <c r="J11" s="8">
        <v>408625</v>
      </c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</row>
    <row r="23" spans="1:10" x14ac:dyDescent="0.25">
      <c r="A23" s="5" t="s">
        <v>8</v>
      </c>
      <c r="B23" s="5"/>
      <c r="C23" s="5"/>
      <c r="D23" s="5"/>
      <c r="E23" s="5"/>
      <c r="F23" s="5"/>
      <c r="G23" s="5"/>
      <c r="H23" s="5"/>
      <c r="I23" s="1"/>
      <c r="J23" s="5"/>
    </row>
    <row r="24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1" t="s">
        <v>6</v>
      </c>
    </row>
    <row r="25" spans="1:10" ht="60" x14ac:dyDescent="0.25">
      <c r="A25" s="2" t="s">
        <v>0</v>
      </c>
      <c r="B25" s="3" t="s">
        <v>7</v>
      </c>
      <c r="C25" s="3" t="s">
        <v>1</v>
      </c>
      <c r="D25" s="3" t="s">
        <v>2</v>
      </c>
      <c r="E25" s="3" t="s">
        <v>11</v>
      </c>
      <c r="F25" s="3" t="s">
        <v>3</v>
      </c>
      <c r="G25" s="3" t="s">
        <v>9</v>
      </c>
      <c r="H25" s="3" t="s">
        <v>4</v>
      </c>
      <c r="I25" s="3" t="s">
        <v>5</v>
      </c>
      <c r="J25" s="3" t="s">
        <v>10</v>
      </c>
    </row>
    <row r="26" spans="1:10" s="15" customFormat="1" ht="90.75" customHeight="1" x14ac:dyDescent="0.25">
      <c r="A26" s="9" t="s">
        <v>13</v>
      </c>
      <c r="B26" s="10">
        <v>108550</v>
      </c>
      <c r="C26" s="10" t="s">
        <v>14</v>
      </c>
      <c r="D26" s="11"/>
      <c r="E26" s="12" t="s">
        <v>26</v>
      </c>
      <c r="F26" s="13" t="s">
        <v>15</v>
      </c>
      <c r="G26" s="9" t="s">
        <v>16</v>
      </c>
      <c r="H26" s="11" t="s">
        <v>17</v>
      </c>
      <c r="I26" s="14">
        <v>1</v>
      </c>
      <c r="J26" s="13" t="s">
        <v>15</v>
      </c>
    </row>
    <row r="27" spans="1:10" ht="15.75" thickBot="1" x14ac:dyDescent="0.3">
      <c r="A27" s="6" t="s">
        <v>18</v>
      </c>
      <c r="B27" s="7"/>
      <c r="C27" s="7"/>
      <c r="D27" s="7"/>
      <c r="E27" s="7"/>
      <c r="F27" s="7"/>
      <c r="G27" s="7"/>
      <c r="H27" s="7"/>
      <c r="I27" s="7"/>
      <c r="J27" s="13" t="s">
        <v>15</v>
      </c>
    </row>
    <row r="37" spans="1:10" x14ac:dyDescent="0.25">
      <c r="A37" s="5" t="s">
        <v>8</v>
      </c>
      <c r="B37" s="5"/>
      <c r="C37" s="5"/>
      <c r="D37" s="5"/>
      <c r="E37" s="5"/>
      <c r="F37" s="5"/>
      <c r="G37" s="5"/>
      <c r="H37" s="5"/>
      <c r="I37" s="1"/>
      <c r="J37" s="5"/>
    </row>
    <row r="38" spans="1:10" x14ac:dyDescent="0.25">
      <c r="A38" s="5"/>
      <c r="B38" s="5"/>
      <c r="C38" s="5"/>
      <c r="D38" s="5"/>
      <c r="E38" s="5"/>
      <c r="F38" s="5"/>
      <c r="G38" s="5"/>
      <c r="H38" s="5"/>
      <c r="I38" s="5"/>
      <c r="J38" s="1" t="s">
        <v>6</v>
      </c>
    </row>
    <row r="39" spans="1:10" ht="60" x14ac:dyDescent="0.25">
      <c r="A39" s="2" t="s">
        <v>0</v>
      </c>
      <c r="B39" s="3" t="s">
        <v>7</v>
      </c>
      <c r="C39" s="3" t="s">
        <v>1</v>
      </c>
      <c r="D39" s="3" t="s">
        <v>2</v>
      </c>
      <c r="E39" s="3" t="s">
        <v>11</v>
      </c>
      <c r="F39" s="3" t="s">
        <v>3</v>
      </c>
      <c r="G39" s="3" t="s">
        <v>9</v>
      </c>
      <c r="H39" s="3" t="s">
        <v>4</v>
      </c>
      <c r="I39" s="3" t="s">
        <v>5</v>
      </c>
      <c r="J39" s="3" t="s">
        <v>10</v>
      </c>
    </row>
    <row r="40" spans="1:10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</row>
    <row r="41" spans="1:10" ht="60.75" customHeight="1" x14ac:dyDescent="0.25">
      <c r="A41" s="9" t="s">
        <v>24</v>
      </c>
      <c r="B41" s="10">
        <v>54131.76</v>
      </c>
      <c r="C41" s="10" t="s">
        <v>34</v>
      </c>
      <c r="D41" s="11"/>
      <c r="E41" s="12" t="s">
        <v>35</v>
      </c>
      <c r="F41" s="13">
        <v>54415.96</v>
      </c>
      <c r="G41" s="9" t="s">
        <v>23</v>
      </c>
      <c r="H41" s="11" t="s">
        <v>12</v>
      </c>
      <c r="I41" s="14">
        <v>1</v>
      </c>
      <c r="J41" s="13">
        <v>54415.96</v>
      </c>
    </row>
    <row r="42" spans="1:10" ht="45" x14ac:dyDescent="0.25">
      <c r="A42" s="9" t="s">
        <v>19</v>
      </c>
      <c r="B42" s="10" t="s">
        <v>20</v>
      </c>
      <c r="C42" s="10" t="s">
        <v>25</v>
      </c>
      <c r="D42" s="11"/>
      <c r="E42" s="12" t="s">
        <v>22</v>
      </c>
      <c r="F42" s="13" t="s">
        <v>21</v>
      </c>
      <c r="G42" s="9" t="s">
        <v>23</v>
      </c>
      <c r="H42" s="11" t="s">
        <v>12</v>
      </c>
      <c r="I42" s="14">
        <v>1</v>
      </c>
      <c r="J42" s="13" t="s">
        <v>21</v>
      </c>
    </row>
    <row r="43" spans="1:10" ht="15.75" thickBot="1" x14ac:dyDescent="0.3">
      <c r="A43" s="6" t="s">
        <v>36</v>
      </c>
      <c r="B43" s="7"/>
      <c r="C43" s="7"/>
      <c r="D43" s="7"/>
      <c r="E43" s="7"/>
      <c r="F43" s="7"/>
      <c r="G43" s="7"/>
      <c r="H43" s="7"/>
      <c r="I43" s="7"/>
      <c r="J43" s="13">
        <v>171831.67</v>
      </c>
    </row>
    <row r="49" spans="1:10" x14ac:dyDescent="0.25">
      <c r="A49" s="5" t="s">
        <v>8</v>
      </c>
      <c r="B49" s="5"/>
      <c r="C49" s="5"/>
      <c r="D49" s="5"/>
      <c r="E49" s="5"/>
      <c r="F49" s="5"/>
      <c r="G49" s="5"/>
      <c r="H49" s="5"/>
      <c r="I49" s="1"/>
      <c r="J49" s="5"/>
    </row>
    <row r="50" spans="1:10" x14ac:dyDescent="0.25">
      <c r="A50" s="5"/>
      <c r="B50" s="5"/>
      <c r="C50" s="5"/>
      <c r="D50" s="5"/>
      <c r="E50" s="5"/>
      <c r="F50" s="5"/>
      <c r="G50" s="5"/>
      <c r="H50" s="5"/>
      <c r="I50" s="5"/>
      <c r="J50" s="1" t="s">
        <v>6</v>
      </c>
    </row>
    <row r="51" spans="1:10" ht="60" x14ac:dyDescent="0.25">
      <c r="A51" s="2" t="s">
        <v>0</v>
      </c>
      <c r="B51" s="3" t="s">
        <v>7</v>
      </c>
      <c r="C51" s="3" t="s">
        <v>1</v>
      </c>
      <c r="D51" s="3" t="s">
        <v>2</v>
      </c>
      <c r="E51" s="3" t="s">
        <v>11</v>
      </c>
      <c r="F51" s="3" t="s">
        <v>3</v>
      </c>
      <c r="G51" s="3" t="s">
        <v>9</v>
      </c>
      <c r="H51" s="3" t="s">
        <v>4</v>
      </c>
      <c r="I51" s="3" t="s">
        <v>5</v>
      </c>
      <c r="J51" s="3" t="s">
        <v>10</v>
      </c>
    </row>
    <row r="52" spans="1:10" ht="75" x14ac:dyDescent="0.25">
      <c r="A52" s="9" t="s">
        <v>37</v>
      </c>
      <c r="B52" s="10">
        <v>401635</v>
      </c>
      <c r="C52" s="10" t="s">
        <v>38</v>
      </c>
      <c r="D52" s="11"/>
      <c r="E52" s="12" t="s">
        <v>39</v>
      </c>
      <c r="F52" s="13">
        <v>411727.92</v>
      </c>
      <c r="G52" s="9" t="s">
        <v>40</v>
      </c>
      <c r="H52" s="11" t="s">
        <v>12</v>
      </c>
      <c r="I52" s="14">
        <v>1</v>
      </c>
      <c r="J52" s="13">
        <v>411727.92</v>
      </c>
    </row>
    <row r="53" spans="1:10" ht="15.75" thickBot="1" x14ac:dyDescent="0.3">
      <c r="A53" s="6" t="s">
        <v>41</v>
      </c>
      <c r="B53" s="7"/>
      <c r="C53" s="7"/>
      <c r="D53" s="7"/>
      <c r="E53" s="7"/>
      <c r="F53" s="7"/>
      <c r="G53" s="7"/>
      <c r="H53" s="7"/>
      <c r="I53" s="7"/>
      <c r="J53" s="13">
        <v>411727.92</v>
      </c>
    </row>
  </sheetData>
  <pageMargins left="0.7" right="0.7" top="0.75" bottom="0.75" header="0.3" footer="0.3"/>
  <pageSetup paperSize="9" scale="8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2"/>
  <sheetViews>
    <sheetView tabSelected="1" topLeftCell="A145" workbookViewId="0">
      <selection activeCell="F6" sqref="F6"/>
    </sheetView>
  </sheetViews>
  <sheetFormatPr defaultRowHeight="15" x14ac:dyDescent="0.25"/>
  <cols>
    <col min="1" max="1" width="13.28515625" customWidth="1"/>
    <col min="2" max="2" width="13.85546875" customWidth="1"/>
    <col min="3" max="3" width="13" customWidth="1"/>
    <col min="4" max="4" width="5.85546875" customWidth="1"/>
    <col min="5" max="5" width="26.5703125" customWidth="1"/>
    <col min="6" max="6" width="14" customWidth="1"/>
    <col min="7" max="7" width="14.85546875" customWidth="1"/>
    <col min="8" max="8" width="10.140625" customWidth="1"/>
    <col min="9" max="9" width="8.85546875" customWidth="1"/>
    <col min="10" max="10" width="15.28515625" customWidth="1"/>
  </cols>
  <sheetData>
    <row r="1" spans="1:10" x14ac:dyDescent="0.25">
      <c r="A1" s="5" t="s">
        <v>8</v>
      </c>
      <c r="B1" s="5"/>
      <c r="C1" s="5"/>
      <c r="D1" s="5"/>
      <c r="E1" s="5"/>
      <c r="F1" s="5"/>
      <c r="G1" s="5"/>
      <c r="H1" s="5"/>
      <c r="I1" s="1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6</v>
      </c>
    </row>
    <row r="3" spans="1:10" ht="90" x14ac:dyDescent="0.25">
      <c r="A3" s="2" t="s">
        <v>0</v>
      </c>
      <c r="B3" s="3" t="s">
        <v>7</v>
      </c>
      <c r="C3" s="3" t="s">
        <v>1</v>
      </c>
      <c r="D3" s="3" t="s">
        <v>2</v>
      </c>
      <c r="E3" s="3" t="s">
        <v>11</v>
      </c>
      <c r="F3" s="3" t="s">
        <v>3</v>
      </c>
      <c r="G3" s="3" t="s">
        <v>9</v>
      </c>
      <c r="H3" s="3" t="s">
        <v>4</v>
      </c>
      <c r="I3" s="3" t="s">
        <v>5</v>
      </c>
      <c r="J3" s="3" t="s">
        <v>10</v>
      </c>
    </row>
    <row r="4" spans="1:10" x14ac:dyDescent="0.25">
      <c r="A4" s="2"/>
      <c r="B4" s="3"/>
      <c r="C4" s="3"/>
      <c r="D4" s="3"/>
      <c r="E4" s="3"/>
      <c r="F4" s="3"/>
      <c r="G4" s="3"/>
      <c r="H4" s="3"/>
      <c r="I4" s="3"/>
      <c r="J4" s="3"/>
    </row>
    <row r="5" spans="1:10" ht="55.5" customHeight="1" x14ac:dyDescent="0.25">
      <c r="A5" s="9" t="s">
        <v>113</v>
      </c>
      <c r="B5" s="23" t="s">
        <v>130</v>
      </c>
      <c r="C5" s="10"/>
      <c r="D5" s="18"/>
      <c r="E5" s="12" t="s">
        <v>131</v>
      </c>
      <c r="F5" s="13" t="s">
        <v>117</v>
      </c>
      <c r="G5" s="9" t="s">
        <v>114</v>
      </c>
      <c r="H5" s="11" t="s">
        <v>115</v>
      </c>
      <c r="I5" s="14">
        <v>1</v>
      </c>
      <c r="J5" s="13" t="s">
        <v>117</v>
      </c>
    </row>
    <row r="6" spans="1:10" ht="62.25" customHeight="1" x14ac:dyDescent="0.25">
      <c r="A6" s="9" t="s">
        <v>116</v>
      </c>
      <c r="B6" s="23" t="s">
        <v>132</v>
      </c>
      <c r="C6" s="10"/>
      <c r="D6" s="18"/>
      <c r="E6" s="12" t="s">
        <v>133</v>
      </c>
      <c r="F6" s="13" t="s">
        <v>118</v>
      </c>
      <c r="G6" s="9" t="s">
        <v>114</v>
      </c>
      <c r="H6" s="11" t="s">
        <v>115</v>
      </c>
      <c r="I6" s="14">
        <v>1</v>
      </c>
      <c r="J6" s="13" t="s">
        <v>118</v>
      </c>
    </row>
    <row r="7" spans="1:10" ht="16.5" customHeight="1" thickBot="1" x14ac:dyDescent="0.3">
      <c r="A7" s="25" t="s">
        <v>120</v>
      </c>
      <c r="B7" s="26"/>
      <c r="C7" s="26"/>
      <c r="D7" s="26"/>
      <c r="E7" s="26"/>
      <c r="F7" s="26"/>
      <c r="G7" s="26"/>
      <c r="H7" s="26"/>
      <c r="I7" s="26"/>
      <c r="J7" s="13" t="s">
        <v>119</v>
      </c>
    </row>
    <row r="8" spans="1:10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F9" s="24"/>
    </row>
    <row r="16" spans="1:10" x14ac:dyDescent="0.25">
      <c r="A16" s="5" t="s">
        <v>8</v>
      </c>
      <c r="B16" s="5"/>
      <c r="C16" s="5"/>
      <c r="D16" s="5"/>
      <c r="E16" s="5"/>
      <c r="F16" s="5"/>
      <c r="G16" s="5"/>
      <c r="H16" s="5"/>
      <c r="I16" s="1"/>
      <c r="J16" s="5"/>
    </row>
    <row r="17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1" t="s">
        <v>6</v>
      </c>
    </row>
    <row r="18" spans="1:10" ht="90" x14ac:dyDescent="0.25">
      <c r="A18" s="2" t="s">
        <v>0</v>
      </c>
      <c r="B18" s="3" t="s">
        <v>7</v>
      </c>
      <c r="C18" s="3" t="s">
        <v>1</v>
      </c>
      <c r="D18" s="3" t="s">
        <v>2</v>
      </c>
      <c r="E18" s="3" t="s">
        <v>11</v>
      </c>
      <c r="F18" s="3" t="s">
        <v>3</v>
      </c>
      <c r="G18" s="3" t="s">
        <v>9</v>
      </c>
      <c r="H18" s="3" t="s">
        <v>4</v>
      </c>
      <c r="I18" s="3" t="s">
        <v>5</v>
      </c>
      <c r="J18" s="3" t="s">
        <v>10</v>
      </c>
    </row>
    <row r="19" spans="1:10" ht="60" x14ac:dyDescent="0.25">
      <c r="A19" s="9" t="s">
        <v>43</v>
      </c>
      <c r="B19" s="10">
        <v>50000</v>
      </c>
      <c r="C19" s="10" t="s">
        <v>25</v>
      </c>
      <c r="D19" s="11" t="s">
        <v>25</v>
      </c>
      <c r="E19" s="11" t="s">
        <v>25</v>
      </c>
      <c r="F19" s="11" t="s">
        <v>25</v>
      </c>
      <c r="G19" s="9" t="s">
        <v>44</v>
      </c>
      <c r="H19" s="11" t="s">
        <v>29</v>
      </c>
      <c r="I19" s="14">
        <v>1</v>
      </c>
      <c r="J19" s="10">
        <v>50000</v>
      </c>
    </row>
    <row r="20" spans="1:10" ht="15.75" thickBot="1" x14ac:dyDescent="0.3">
      <c r="A20" s="6" t="s">
        <v>45</v>
      </c>
      <c r="B20" s="7"/>
      <c r="C20" s="7"/>
      <c r="D20" s="7"/>
      <c r="E20" s="7"/>
      <c r="F20" s="7"/>
      <c r="G20" s="7"/>
      <c r="H20" s="7"/>
      <c r="I20" s="7"/>
      <c r="J20" s="10">
        <v>50000</v>
      </c>
    </row>
    <row r="22" spans="1:10" x14ac:dyDescent="0.25">
      <c r="A22" s="18"/>
    </row>
    <row r="28" spans="1:10" x14ac:dyDescent="0.25">
      <c r="A28" s="5" t="s">
        <v>8</v>
      </c>
      <c r="B28" s="5"/>
      <c r="C28" s="5"/>
      <c r="D28" s="5"/>
      <c r="E28" s="5"/>
      <c r="F28" s="5"/>
      <c r="G28" s="5"/>
      <c r="H28" s="5"/>
      <c r="I28" s="1"/>
      <c r="J28" s="5"/>
    </row>
    <row r="29" spans="1:10" x14ac:dyDescent="0.25">
      <c r="A29" s="5"/>
      <c r="B29" s="5"/>
      <c r="C29" s="5"/>
      <c r="D29" s="5"/>
      <c r="E29" s="5"/>
      <c r="F29" s="5"/>
      <c r="G29" s="5"/>
      <c r="H29" s="5"/>
      <c r="I29" s="5"/>
      <c r="J29" s="1" t="s">
        <v>6</v>
      </c>
    </row>
    <row r="30" spans="1:10" ht="90" x14ac:dyDescent="0.25">
      <c r="A30" s="2" t="s">
        <v>0</v>
      </c>
      <c r="B30" s="3" t="s">
        <v>7</v>
      </c>
      <c r="C30" s="3" t="s">
        <v>1</v>
      </c>
      <c r="D30" s="3" t="s">
        <v>2</v>
      </c>
      <c r="E30" s="3" t="s">
        <v>11</v>
      </c>
      <c r="F30" s="3" t="s">
        <v>3</v>
      </c>
      <c r="G30" s="3" t="s">
        <v>9</v>
      </c>
      <c r="H30" s="3" t="s">
        <v>4</v>
      </c>
      <c r="I30" s="3" t="s">
        <v>5</v>
      </c>
      <c r="J30" s="3" t="s">
        <v>10</v>
      </c>
    </row>
    <row r="31" spans="1:10" ht="60" x14ac:dyDescent="0.25">
      <c r="A31" s="9" t="s">
        <v>46</v>
      </c>
      <c r="B31" s="10">
        <v>18000</v>
      </c>
      <c r="C31" s="10">
        <v>498.75</v>
      </c>
      <c r="D31" s="11" t="s">
        <v>25</v>
      </c>
      <c r="E31" s="12" t="s">
        <v>47</v>
      </c>
      <c r="F31" s="13">
        <v>18423.939999999999</v>
      </c>
      <c r="G31" s="9" t="s">
        <v>48</v>
      </c>
      <c r="H31" s="11" t="s">
        <v>42</v>
      </c>
      <c r="I31" s="14">
        <v>1</v>
      </c>
      <c r="J31" s="13">
        <v>18423.939999999999</v>
      </c>
    </row>
    <row r="32" spans="1:10" ht="15.75" thickBot="1" x14ac:dyDescent="0.3">
      <c r="A32" s="6" t="s">
        <v>49</v>
      </c>
      <c r="B32" s="7"/>
      <c r="C32" s="7"/>
      <c r="D32" s="7"/>
      <c r="E32" s="7"/>
      <c r="F32" s="7"/>
      <c r="G32" s="7"/>
      <c r="H32" s="7"/>
      <c r="I32" s="7"/>
      <c r="J32" s="13">
        <v>18423.939999999999</v>
      </c>
    </row>
    <row r="39" spans="1:10" x14ac:dyDescent="0.25">
      <c r="A39" s="5" t="s">
        <v>8</v>
      </c>
      <c r="B39" s="5"/>
      <c r="C39" s="5"/>
      <c r="D39" s="5"/>
      <c r="E39" s="5"/>
      <c r="F39" s="5"/>
      <c r="G39" s="5"/>
      <c r="H39" s="5"/>
      <c r="I39" s="1"/>
      <c r="J39" s="5"/>
    </row>
    <row r="40" spans="1:10" x14ac:dyDescent="0.25">
      <c r="A40" s="5"/>
      <c r="B40" s="5"/>
      <c r="C40" s="5"/>
      <c r="D40" s="5"/>
      <c r="E40" s="5"/>
      <c r="F40" s="5"/>
      <c r="G40" s="5"/>
      <c r="H40" s="5"/>
      <c r="I40" s="5"/>
      <c r="J40" s="1" t="s">
        <v>6</v>
      </c>
    </row>
    <row r="41" spans="1:10" ht="90" x14ac:dyDescent="0.25">
      <c r="A41" s="2" t="s">
        <v>0</v>
      </c>
      <c r="B41" s="3" t="s">
        <v>7</v>
      </c>
      <c r="C41" s="3" t="s">
        <v>1</v>
      </c>
      <c r="D41" s="3" t="s">
        <v>2</v>
      </c>
      <c r="E41" s="3" t="s">
        <v>11</v>
      </c>
      <c r="F41" s="3" t="s">
        <v>3</v>
      </c>
      <c r="G41" s="3" t="s">
        <v>9</v>
      </c>
      <c r="H41" s="3" t="s">
        <v>4</v>
      </c>
      <c r="I41" s="3" t="s">
        <v>5</v>
      </c>
      <c r="J41" s="3" t="s">
        <v>10</v>
      </c>
    </row>
    <row r="42" spans="1:10" ht="60" x14ac:dyDescent="0.25">
      <c r="A42" s="9" t="s">
        <v>64</v>
      </c>
      <c r="B42" s="10">
        <v>800000</v>
      </c>
      <c r="C42" s="10">
        <v>83443.75</v>
      </c>
      <c r="D42" s="11" t="s">
        <v>25</v>
      </c>
      <c r="E42" s="12" t="s">
        <v>65</v>
      </c>
      <c r="F42" s="13">
        <v>870427.19</v>
      </c>
      <c r="G42" s="9" t="s">
        <v>66</v>
      </c>
      <c r="H42" s="11" t="s">
        <v>42</v>
      </c>
      <c r="I42" s="14">
        <v>1</v>
      </c>
      <c r="J42" s="13">
        <v>870427.19</v>
      </c>
    </row>
    <row r="43" spans="1:10" ht="15.75" thickBot="1" x14ac:dyDescent="0.3">
      <c r="A43" s="6" t="s">
        <v>67</v>
      </c>
      <c r="B43" s="7"/>
      <c r="C43" s="7"/>
      <c r="D43" s="7"/>
      <c r="E43" s="7"/>
      <c r="F43" s="7"/>
      <c r="G43" s="7"/>
      <c r="H43" s="7"/>
      <c r="I43" s="7"/>
      <c r="J43" s="13">
        <v>870427.19</v>
      </c>
    </row>
    <row r="50" spans="1:10" x14ac:dyDescent="0.25">
      <c r="A50" s="5" t="s">
        <v>8</v>
      </c>
      <c r="B50" s="5"/>
      <c r="C50" s="5"/>
      <c r="D50" s="5"/>
      <c r="E50" s="5"/>
      <c r="F50" s="5"/>
      <c r="G50" s="5"/>
      <c r="H50" s="5"/>
      <c r="I50" s="1"/>
      <c r="J50" s="5"/>
    </row>
    <row r="51" spans="1:10" x14ac:dyDescent="0.25">
      <c r="A51" s="5"/>
      <c r="B51" s="5"/>
      <c r="C51" s="5"/>
      <c r="D51" s="5"/>
      <c r="E51" s="5"/>
      <c r="F51" s="5"/>
      <c r="G51" s="5"/>
      <c r="H51" s="5"/>
      <c r="I51" s="5"/>
      <c r="J51" s="1" t="s">
        <v>6</v>
      </c>
    </row>
    <row r="52" spans="1:10" ht="90" x14ac:dyDescent="0.25">
      <c r="A52" s="2" t="s">
        <v>0</v>
      </c>
      <c r="B52" s="3" t="s">
        <v>7</v>
      </c>
      <c r="C52" s="3" t="s">
        <v>1</v>
      </c>
      <c r="D52" s="3" t="s">
        <v>2</v>
      </c>
      <c r="E52" s="3" t="s">
        <v>11</v>
      </c>
      <c r="F52" s="3" t="s">
        <v>3</v>
      </c>
      <c r="G52" s="3" t="s">
        <v>9</v>
      </c>
      <c r="H52" s="3" t="s">
        <v>4</v>
      </c>
      <c r="I52" s="3" t="s">
        <v>5</v>
      </c>
      <c r="J52" s="3" t="s">
        <v>10</v>
      </c>
    </row>
    <row r="53" spans="1:10" ht="60" x14ac:dyDescent="0.25">
      <c r="A53" s="9" t="s">
        <v>51</v>
      </c>
      <c r="B53" s="10" t="s">
        <v>52</v>
      </c>
      <c r="C53" s="10">
        <v>6243.3</v>
      </c>
      <c r="D53" s="11" t="s">
        <v>25</v>
      </c>
      <c r="E53" s="12" t="s">
        <v>53</v>
      </c>
      <c r="F53" s="13" t="s">
        <v>54</v>
      </c>
      <c r="G53" s="9" t="s">
        <v>50</v>
      </c>
      <c r="H53" s="11" t="s">
        <v>42</v>
      </c>
      <c r="I53" s="14">
        <v>1</v>
      </c>
      <c r="J53" s="13" t="s">
        <v>54</v>
      </c>
    </row>
    <row r="54" spans="1:10" ht="15.75" thickBot="1" x14ac:dyDescent="0.3">
      <c r="A54" s="6" t="s">
        <v>55</v>
      </c>
      <c r="B54" s="7"/>
      <c r="C54" s="7"/>
      <c r="D54" s="7"/>
      <c r="E54" s="7"/>
      <c r="F54" s="7"/>
      <c r="G54" s="7"/>
      <c r="H54" s="7"/>
      <c r="I54" s="7"/>
      <c r="J54" s="13" t="s">
        <v>54</v>
      </c>
    </row>
    <row r="55" spans="1:10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7"/>
    </row>
    <row r="56" spans="1:10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7"/>
    </row>
    <row r="57" spans="1:10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7"/>
    </row>
    <row r="58" spans="1:10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7"/>
    </row>
    <row r="59" spans="1:10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7"/>
    </row>
    <row r="60" spans="1:10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7"/>
    </row>
    <row r="61" spans="1:10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7"/>
    </row>
    <row r="62" spans="1:10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7"/>
    </row>
    <row r="63" spans="1:10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7"/>
    </row>
    <row r="64" spans="1:10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7"/>
    </row>
    <row r="65" spans="1:10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7"/>
    </row>
    <row r="66" spans="1:10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7"/>
    </row>
    <row r="72" spans="1:10" x14ac:dyDescent="0.25">
      <c r="A72" s="5" t="s">
        <v>8</v>
      </c>
      <c r="B72" s="5"/>
      <c r="C72" s="5"/>
      <c r="D72" s="5"/>
      <c r="E72" s="5"/>
      <c r="F72" s="5"/>
      <c r="G72" s="5"/>
      <c r="H72" s="5"/>
      <c r="I72" s="1"/>
      <c r="J72" s="5"/>
    </row>
    <row r="73" spans="1:10" x14ac:dyDescent="0.25">
      <c r="A73" s="5"/>
      <c r="B73" s="5"/>
      <c r="C73" s="5"/>
      <c r="D73" s="5"/>
      <c r="E73" s="5"/>
      <c r="F73" s="5"/>
      <c r="G73" s="5"/>
      <c r="H73" s="5"/>
      <c r="I73" s="5"/>
      <c r="J73" s="1" t="s">
        <v>6</v>
      </c>
    </row>
    <row r="74" spans="1:10" ht="90" x14ac:dyDescent="0.25">
      <c r="A74" s="2" t="s">
        <v>0</v>
      </c>
      <c r="B74" s="3" t="s">
        <v>7</v>
      </c>
      <c r="C74" s="3" t="s">
        <v>1</v>
      </c>
      <c r="D74" s="3" t="s">
        <v>2</v>
      </c>
      <c r="E74" s="3" t="s">
        <v>11</v>
      </c>
      <c r="F74" s="3" t="s">
        <v>3</v>
      </c>
      <c r="G74" s="3" t="s">
        <v>9</v>
      </c>
      <c r="H74" s="3" t="s">
        <v>4</v>
      </c>
      <c r="I74" s="3" t="s">
        <v>5</v>
      </c>
      <c r="J74" s="3" t="s">
        <v>10</v>
      </c>
    </row>
    <row r="75" spans="1:10" x14ac:dyDescent="0.25">
      <c r="A75" s="2"/>
      <c r="B75" s="3"/>
      <c r="C75" s="3"/>
      <c r="D75" s="3"/>
      <c r="E75" s="3"/>
      <c r="F75" s="3"/>
      <c r="G75" s="3"/>
      <c r="H75" s="3"/>
      <c r="I75" s="3"/>
      <c r="J75" s="3"/>
    </row>
    <row r="76" spans="1:10" ht="45" x14ac:dyDescent="0.25">
      <c r="A76" s="9" t="s">
        <v>82</v>
      </c>
      <c r="B76" s="10" t="s">
        <v>83</v>
      </c>
      <c r="C76" s="10"/>
      <c r="D76" s="18">
        <v>71400</v>
      </c>
      <c r="E76" s="12" t="s">
        <v>84</v>
      </c>
      <c r="F76" s="10">
        <v>2725600</v>
      </c>
      <c r="G76" s="9" t="s">
        <v>85</v>
      </c>
      <c r="H76" s="11" t="s">
        <v>12</v>
      </c>
      <c r="I76" s="14">
        <v>1</v>
      </c>
      <c r="J76" s="10">
        <v>2725600</v>
      </c>
    </row>
    <row r="77" spans="1:10" ht="15.75" thickBot="1" x14ac:dyDescent="0.3">
      <c r="A77" s="6" t="s">
        <v>86</v>
      </c>
      <c r="B77" s="7"/>
      <c r="C77" s="7"/>
      <c r="D77" s="7"/>
      <c r="E77" s="7"/>
      <c r="F77" s="7"/>
      <c r="G77" s="7"/>
      <c r="H77" s="7"/>
      <c r="I77" s="7"/>
      <c r="J77" s="10">
        <v>2725600</v>
      </c>
    </row>
    <row r="81" spans="1:10" x14ac:dyDescent="0.25">
      <c r="A81" s="5" t="s">
        <v>8</v>
      </c>
      <c r="B81" s="5"/>
      <c r="C81" s="5"/>
      <c r="D81" s="5"/>
      <c r="E81" s="5"/>
      <c r="F81" s="5"/>
      <c r="G81" s="5"/>
      <c r="H81" s="5"/>
      <c r="I81" s="1"/>
      <c r="J81" s="5"/>
    </row>
    <row r="82" spans="1:10" x14ac:dyDescent="0.25">
      <c r="A82" s="5"/>
      <c r="B82" s="5"/>
      <c r="C82" s="5"/>
      <c r="D82" s="5"/>
      <c r="E82" s="5"/>
      <c r="F82" s="5"/>
      <c r="G82" s="5"/>
      <c r="H82" s="5"/>
      <c r="I82" s="5"/>
      <c r="J82" s="1" t="s">
        <v>6</v>
      </c>
    </row>
    <row r="83" spans="1:10" ht="90" x14ac:dyDescent="0.25">
      <c r="A83" s="2" t="s">
        <v>0</v>
      </c>
      <c r="B83" s="3" t="s">
        <v>7</v>
      </c>
      <c r="C83" s="3" t="s">
        <v>1</v>
      </c>
      <c r="D83" s="3" t="s">
        <v>2</v>
      </c>
      <c r="E83" s="3" t="s">
        <v>11</v>
      </c>
      <c r="F83" s="3" t="s">
        <v>3</v>
      </c>
      <c r="G83" s="3" t="s">
        <v>9</v>
      </c>
      <c r="H83" s="3" t="s">
        <v>4</v>
      </c>
      <c r="I83" s="3" t="s">
        <v>5</v>
      </c>
      <c r="J83" s="3" t="s">
        <v>10</v>
      </c>
    </row>
    <row r="84" spans="1:10" ht="45" x14ac:dyDescent="0.25">
      <c r="A84" s="9" t="s">
        <v>73</v>
      </c>
      <c r="B84" s="10">
        <v>135828.03</v>
      </c>
      <c r="C84" s="10" t="s">
        <v>77</v>
      </c>
      <c r="D84" s="18" t="s">
        <v>77</v>
      </c>
      <c r="E84" s="12" t="s">
        <v>74</v>
      </c>
      <c r="F84" s="10">
        <v>135078.03</v>
      </c>
      <c r="G84" s="9" t="s">
        <v>69</v>
      </c>
      <c r="H84" s="11" t="s">
        <v>62</v>
      </c>
      <c r="I84" s="14">
        <v>1</v>
      </c>
      <c r="J84" s="10">
        <v>135078.03</v>
      </c>
    </row>
    <row r="85" spans="1:10" ht="45" x14ac:dyDescent="0.25">
      <c r="A85" s="9" t="s">
        <v>68</v>
      </c>
      <c r="B85" s="10">
        <v>135828.03</v>
      </c>
      <c r="C85" s="10" t="s">
        <v>77</v>
      </c>
      <c r="D85" s="18" t="s">
        <v>77</v>
      </c>
      <c r="E85" s="12" t="s">
        <v>74</v>
      </c>
      <c r="F85" s="10">
        <v>135078.03</v>
      </c>
      <c r="G85" s="9" t="s">
        <v>69</v>
      </c>
      <c r="H85" s="11" t="s">
        <v>62</v>
      </c>
      <c r="I85" s="14">
        <v>1</v>
      </c>
      <c r="J85" s="10">
        <v>135078.03</v>
      </c>
    </row>
    <row r="86" spans="1:10" ht="45" x14ac:dyDescent="0.25">
      <c r="A86" s="9" t="s">
        <v>70</v>
      </c>
      <c r="B86" s="10">
        <v>106815.54</v>
      </c>
      <c r="C86" s="10" t="s">
        <v>77</v>
      </c>
      <c r="D86" s="18" t="s">
        <v>77</v>
      </c>
      <c r="E86" s="12" t="s">
        <v>75</v>
      </c>
      <c r="F86" s="10">
        <v>106515.54</v>
      </c>
      <c r="G86" s="9" t="s">
        <v>69</v>
      </c>
      <c r="H86" s="11" t="s">
        <v>62</v>
      </c>
      <c r="I86" s="14">
        <v>1</v>
      </c>
      <c r="J86" s="10">
        <v>106515.54</v>
      </c>
    </row>
    <row r="87" spans="1:10" ht="45" x14ac:dyDescent="0.25">
      <c r="A87" s="9" t="s">
        <v>71</v>
      </c>
      <c r="B87" s="10">
        <v>622551.21</v>
      </c>
      <c r="C87" s="10" t="s">
        <v>77</v>
      </c>
      <c r="D87" s="18" t="s">
        <v>77</v>
      </c>
      <c r="E87" s="12" t="s">
        <v>76</v>
      </c>
      <c r="F87" s="10">
        <v>621551.21</v>
      </c>
      <c r="G87" s="9" t="s">
        <v>69</v>
      </c>
      <c r="H87" s="11" t="s">
        <v>62</v>
      </c>
      <c r="I87" s="14">
        <v>1</v>
      </c>
      <c r="J87" s="10">
        <v>621551.21</v>
      </c>
    </row>
    <row r="88" spans="1:10" ht="15.75" thickBot="1" x14ac:dyDescent="0.3">
      <c r="A88" s="6" t="s">
        <v>72</v>
      </c>
      <c r="B88" s="7"/>
      <c r="C88" s="7"/>
      <c r="D88" s="7"/>
      <c r="E88" s="7"/>
      <c r="F88" s="7"/>
      <c r="G88" s="7"/>
      <c r="H88" s="7"/>
      <c r="I88" s="7"/>
      <c r="J88" s="13">
        <v>998222.81</v>
      </c>
    </row>
    <row r="94" spans="1:10" x14ac:dyDescent="0.25">
      <c r="A94" s="5" t="s">
        <v>8</v>
      </c>
      <c r="B94" s="5"/>
      <c r="C94" s="5"/>
      <c r="D94" s="5"/>
      <c r="E94" s="5"/>
      <c r="F94" s="5"/>
      <c r="G94" s="5"/>
      <c r="H94" s="5"/>
      <c r="I94" s="1"/>
      <c r="J94" s="5"/>
    </row>
    <row r="95" spans="1:10" x14ac:dyDescent="0.25">
      <c r="A95" s="5"/>
      <c r="B95" s="5"/>
      <c r="C95" s="5"/>
      <c r="D95" s="5"/>
      <c r="E95" s="5"/>
      <c r="F95" s="5"/>
      <c r="G95" s="5"/>
      <c r="H95" s="5"/>
      <c r="I95" s="5"/>
      <c r="J95" s="1" t="s">
        <v>6</v>
      </c>
    </row>
    <row r="96" spans="1:10" ht="90" x14ac:dyDescent="0.25">
      <c r="A96" s="2" t="s">
        <v>0</v>
      </c>
      <c r="B96" s="3" t="s">
        <v>7</v>
      </c>
      <c r="C96" s="3" t="s">
        <v>1</v>
      </c>
      <c r="D96" s="3" t="s">
        <v>2</v>
      </c>
      <c r="E96" s="3" t="s">
        <v>11</v>
      </c>
      <c r="F96" s="3" t="s">
        <v>3</v>
      </c>
      <c r="G96" s="3" t="s">
        <v>9</v>
      </c>
      <c r="H96" s="3" t="s">
        <v>4</v>
      </c>
      <c r="I96" s="3" t="s">
        <v>5</v>
      </c>
      <c r="J96" s="3" t="s">
        <v>10</v>
      </c>
    </row>
    <row r="97" spans="1:10" ht="76.5" customHeight="1" x14ac:dyDescent="0.25">
      <c r="A97" s="9" t="s">
        <v>89</v>
      </c>
      <c r="B97" s="10">
        <v>222195.03</v>
      </c>
      <c r="C97" s="10" t="s">
        <v>95</v>
      </c>
      <c r="D97" s="22"/>
      <c r="E97" s="12" t="s">
        <v>96</v>
      </c>
      <c r="F97" s="13">
        <v>223411.5</v>
      </c>
      <c r="G97" s="9" t="s">
        <v>88</v>
      </c>
      <c r="H97" s="11" t="s">
        <v>57</v>
      </c>
      <c r="I97" s="14">
        <v>1</v>
      </c>
      <c r="J97" s="13">
        <v>223411.5</v>
      </c>
    </row>
    <row r="98" spans="1:10" ht="75" x14ac:dyDescent="0.25">
      <c r="A98" s="9" t="s">
        <v>87</v>
      </c>
      <c r="B98" s="10">
        <v>247480.2</v>
      </c>
      <c r="C98" s="10" t="s">
        <v>97</v>
      </c>
      <c r="D98" s="22"/>
      <c r="E98" s="12" t="s">
        <v>98</v>
      </c>
      <c r="F98" s="13">
        <v>249050.33</v>
      </c>
      <c r="G98" s="9" t="s">
        <v>88</v>
      </c>
      <c r="H98" s="11" t="s">
        <v>57</v>
      </c>
      <c r="I98" s="14">
        <v>1</v>
      </c>
      <c r="J98" s="13">
        <v>249050.33</v>
      </c>
    </row>
    <row r="99" spans="1:10" ht="15.75" thickBot="1" x14ac:dyDescent="0.3">
      <c r="A99" s="6" t="s">
        <v>99</v>
      </c>
      <c r="B99" s="7"/>
      <c r="C99" s="7"/>
      <c r="D99" s="7"/>
      <c r="E99" s="7"/>
      <c r="F99" s="7"/>
      <c r="G99" s="7"/>
      <c r="H99" s="7"/>
      <c r="I99" s="20"/>
      <c r="J99" s="21">
        <f>SUM(J97:J98)</f>
        <v>472461.82999999996</v>
      </c>
    </row>
    <row r="100" spans="1:10" x14ac:dyDescent="0.25">
      <c r="J100" s="19"/>
    </row>
    <row r="101" spans="1:10" x14ac:dyDescent="0.25">
      <c r="J101" s="19"/>
    </row>
    <row r="103" spans="1:10" x14ac:dyDescent="0.25">
      <c r="A103" s="5" t="s">
        <v>8</v>
      </c>
      <c r="B103" s="5"/>
      <c r="C103" s="5"/>
      <c r="D103" s="5"/>
      <c r="E103" s="5"/>
      <c r="F103" s="5"/>
      <c r="G103" s="5"/>
      <c r="H103" s="5"/>
      <c r="I103" s="1"/>
      <c r="J103" s="5"/>
    </row>
    <row r="104" spans="1:10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1" t="s">
        <v>6</v>
      </c>
    </row>
    <row r="105" spans="1:10" ht="90" x14ac:dyDescent="0.25">
      <c r="A105" s="2" t="s">
        <v>0</v>
      </c>
      <c r="B105" s="3" t="s">
        <v>7</v>
      </c>
      <c r="C105" s="3" t="s">
        <v>1</v>
      </c>
      <c r="D105" s="3" t="s">
        <v>2</v>
      </c>
      <c r="E105" s="3" t="s">
        <v>11</v>
      </c>
      <c r="F105" s="3" t="s">
        <v>3</v>
      </c>
      <c r="G105" s="3" t="s">
        <v>9</v>
      </c>
      <c r="H105" s="3" t="s">
        <v>4</v>
      </c>
      <c r="I105" s="3" t="s">
        <v>5</v>
      </c>
      <c r="J105" s="3" t="s">
        <v>10</v>
      </c>
    </row>
    <row r="106" spans="1:10" x14ac:dyDescent="0.25">
      <c r="A106" s="2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45" x14ac:dyDescent="0.25">
      <c r="A107" s="9" t="s">
        <v>78</v>
      </c>
      <c r="B107" s="10">
        <v>2226881.25</v>
      </c>
      <c r="C107" s="10" t="s">
        <v>25</v>
      </c>
      <c r="D107" s="11" t="s">
        <v>25</v>
      </c>
      <c r="E107" s="11" t="s">
        <v>25</v>
      </c>
      <c r="F107" s="11" t="s">
        <v>25</v>
      </c>
      <c r="G107" s="9" t="s">
        <v>79</v>
      </c>
      <c r="H107" s="11" t="s">
        <v>80</v>
      </c>
      <c r="I107" s="14">
        <v>1</v>
      </c>
      <c r="J107" s="10">
        <v>2226881.25</v>
      </c>
    </row>
    <row r="108" spans="1:10" ht="15.75" thickBot="1" x14ac:dyDescent="0.3">
      <c r="A108" s="6" t="s">
        <v>81</v>
      </c>
      <c r="B108" s="7"/>
      <c r="C108" s="7"/>
      <c r="D108" s="7"/>
      <c r="E108" s="7"/>
      <c r="F108" s="7"/>
      <c r="G108" s="7"/>
      <c r="H108" s="7"/>
      <c r="I108" s="7"/>
      <c r="J108" s="10">
        <v>2226881.25</v>
      </c>
    </row>
    <row r="113" spans="1:10" x14ac:dyDescent="0.25">
      <c r="A113" s="5" t="s">
        <v>8</v>
      </c>
      <c r="B113" s="5"/>
      <c r="C113" s="5"/>
      <c r="D113" s="5"/>
      <c r="E113" s="5"/>
      <c r="F113" s="5"/>
      <c r="G113" s="5"/>
      <c r="H113" s="5"/>
      <c r="I113" s="1"/>
      <c r="J113" s="5"/>
    </row>
    <row r="114" spans="1:10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1" t="s">
        <v>6</v>
      </c>
    </row>
    <row r="115" spans="1:10" ht="90" x14ac:dyDescent="0.25">
      <c r="A115" s="2" t="s">
        <v>0</v>
      </c>
      <c r="B115" s="3" t="s">
        <v>7</v>
      </c>
      <c r="C115" s="3" t="s">
        <v>1</v>
      </c>
      <c r="D115" s="3" t="s">
        <v>2</v>
      </c>
      <c r="E115" s="3" t="s">
        <v>11</v>
      </c>
      <c r="F115" s="3" t="s">
        <v>3</v>
      </c>
      <c r="G115" s="3" t="s">
        <v>9</v>
      </c>
      <c r="H115" s="3" t="s">
        <v>4</v>
      </c>
      <c r="I115" s="3" t="s">
        <v>5</v>
      </c>
      <c r="J115" s="3" t="s">
        <v>10</v>
      </c>
    </row>
    <row r="116" spans="1:10" x14ac:dyDescent="0.25">
      <c r="A116" s="2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75" x14ac:dyDescent="0.25">
      <c r="A117" s="9" t="s">
        <v>90</v>
      </c>
      <c r="B117" s="10">
        <v>396322.86</v>
      </c>
      <c r="C117" s="10" t="s">
        <v>91</v>
      </c>
      <c r="D117" s="11" t="s">
        <v>25</v>
      </c>
      <c r="E117" s="12" t="s">
        <v>92</v>
      </c>
      <c r="F117" s="13">
        <v>396164.28</v>
      </c>
      <c r="G117" s="9" t="s">
        <v>93</v>
      </c>
      <c r="H117" s="11" t="s">
        <v>57</v>
      </c>
      <c r="I117" s="14">
        <v>1</v>
      </c>
      <c r="J117" s="13">
        <v>396164.28</v>
      </c>
    </row>
    <row r="118" spans="1:10" ht="15.75" thickBot="1" x14ac:dyDescent="0.3">
      <c r="A118" s="6" t="s">
        <v>94</v>
      </c>
      <c r="B118" s="7"/>
      <c r="C118" s="7"/>
      <c r="D118" s="7"/>
      <c r="E118" s="7"/>
      <c r="F118" s="7"/>
      <c r="G118" s="7"/>
      <c r="H118" s="7"/>
      <c r="I118" s="7"/>
      <c r="J118" s="13">
        <v>396164.28</v>
      </c>
    </row>
    <row r="123" spans="1:10" x14ac:dyDescent="0.25">
      <c r="A123" s="5" t="s">
        <v>8</v>
      </c>
      <c r="B123" s="5"/>
      <c r="C123" s="5"/>
      <c r="D123" s="5"/>
      <c r="E123" s="5"/>
      <c r="F123" s="5"/>
      <c r="G123" s="5"/>
      <c r="H123" s="5"/>
      <c r="I123" s="1"/>
      <c r="J123" s="5"/>
    </row>
    <row r="124" spans="1:10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1" t="s">
        <v>6</v>
      </c>
    </row>
    <row r="125" spans="1:10" ht="90" x14ac:dyDescent="0.25">
      <c r="A125" s="2" t="s">
        <v>0</v>
      </c>
      <c r="B125" s="3" t="s">
        <v>7</v>
      </c>
      <c r="C125" s="3" t="s">
        <v>1</v>
      </c>
      <c r="D125" s="3" t="s">
        <v>2</v>
      </c>
      <c r="E125" s="3" t="s">
        <v>11</v>
      </c>
      <c r="F125" s="3" t="s">
        <v>3</v>
      </c>
      <c r="G125" s="3" t="s">
        <v>9</v>
      </c>
      <c r="H125" s="3" t="s">
        <v>4</v>
      </c>
      <c r="I125" s="3" t="s">
        <v>5</v>
      </c>
      <c r="J125" s="3" t="s">
        <v>10</v>
      </c>
    </row>
    <row r="126" spans="1:10" x14ac:dyDescent="0.25">
      <c r="A126" s="2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75" x14ac:dyDescent="0.25">
      <c r="A127" s="9" t="s">
        <v>59</v>
      </c>
      <c r="B127" s="10">
        <v>500000</v>
      </c>
      <c r="C127" s="10" t="s">
        <v>61</v>
      </c>
      <c r="D127" s="11" t="s">
        <v>25</v>
      </c>
      <c r="E127" s="12" t="s">
        <v>60</v>
      </c>
      <c r="F127" s="13">
        <v>502625</v>
      </c>
      <c r="G127" s="9" t="s">
        <v>58</v>
      </c>
      <c r="H127" s="11" t="s">
        <v>57</v>
      </c>
      <c r="I127" s="14">
        <v>1</v>
      </c>
      <c r="J127" s="13">
        <v>502625</v>
      </c>
    </row>
    <row r="128" spans="1:10" ht="15.75" thickBot="1" x14ac:dyDescent="0.3">
      <c r="A128" s="6" t="s">
        <v>63</v>
      </c>
      <c r="B128" s="7"/>
      <c r="C128" s="7"/>
      <c r="D128" s="7"/>
      <c r="E128" s="7"/>
      <c r="F128" s="7"/>
      <c r="G128" s="7"/>
      <c r="H128" s="7"/>
      <c r="I128" s="7"/>
      <c r="J128" s="13">
        <v>502625</v>
      </c>
    </row>
    <row r="134" spans="1:10" x14ac:dyDescent="0.25">
      <c r="A134" s="5" t="s">
        <v>8</v>
      </c>
      <c r="B134" s="5"/>
      <c r="C134" s="5"/>
      <c r="D134" s="5"/>
      <c r="E134" s="5"/>
      <c r="F134" s="5"/>
      <c r="G134" s="5"/>
      <c r="H134" s="5"/>
      <c r="I134" s="1"/>
      <c r="J134" s="5"/>
    </row>
    <row r="135" spans="1:10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1" t="s">
        <v>6</v>
      </c>
    </row>
    <row r="136" spans="1:10" ht="90" x14ac:dyDescent="0.25">
      <c r="A136" s="9" t="s">
        <v>109</v>
      </c>
      <c r="B136" s="3" t="s">
        <v>7</v>
      </c>
      <c r="C136" s="3" t="s">
        <v>1</v>
      </c>
      <c r="D136" s="3" t="s">
        <v>2</v>
      </c>
      <c r="E136" s="3" t="s">
        <v>11</v>
      </c>
      <c r="F136" s="3" t="s">
        <v>3</v>
      </c>
      <c r="G136" s="3" t="s">
        <v>9</v>
      </c>
      <c r="H136" s="3" t="s">
        <v>4</v>
      </c>
      <c r="I136" s="3" t="s">
        <v>5</v>
      </c>
      <c r="J136" s="3" t="s">
        <v>10</v>
      </c>
    </row>
    <row r="137" spans="1:10" ht="15.75" x14ac:dyDescent="0.25">
      <c r="A137" s="9"/>
      <c r="B137" s="10">
        <v>2400000</v>
      </c>
      <c r="C137" s="10" t="s">
        <v>25</v>
      </c>
      <c r="D137" s="10" t="s">
        <v>25</v>
      </c>
      <c r="E137" s="10" t="s">
        <v>107</v>
      </c>
      <c r="F137" s="13" t="s">
        <v>111</v>
      </c>
      <c r="G137" s="27" t="s">
        <v>108</v>
      </c>
      <c r="H137" s="11" t="s">
        <v>110</v>
      </c>
      <c r="I137" s="14">
        <v>1</v>
      </c>
      <c r="J137" s="13" t="s">
        <v>111</v>
      </c>
    </row>
    <row r="138" spans="1:10" ht="15.75" thickBot="1" x14ac:dyDescent="0.3">
      <c r="A138" s="6" t="s">
        <v>112</v>
      </c>
      <c r="B138" s="7"/>
      <c r="C138" s="7"/>
      <c r="D138" s="7"/>
      <c r="E138" s="7"/>
      <c r="F138" s="7"/>
      <c r="G138" s="7"/>
      <c r="H138" s="7"/>
      <c r="I138" s="7"/>
      <c r="J138" s="13" t="s">
        <v>111</v>
      </c>
    </row>
    <row r="145" spans="1:11" x14ac:dyDescent="0.25">
      <c r="A145" s="5" t="s">
        <v>8</v>
      </c>
      <c r="B145" s="5"/>
      <c r="C145" s="5"/>
      <c r="D145" s="5"/>
      <c r="E145" s="5"/>
      <c r="F145" s="5"/>
      <c r="G145" s="5"/>
      <c r="H145" s="5"/>
      <c r="I145" s="1"/>
      <c r="J145" s="5"/>
    </row>
    <row r="146" spans="1:1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1" t="s">
        <v>6</v>
      </c>
    </row>
    <row r="147" spans="1:11" ht="90" x14ac:dyDescent="0.25">
      <c r="A147" s="2" t="s">
        <v>121</v>
      </c>
      <c r="B147" s="3" t="s">
        <v>7</v>
      </c>
      <c r="C147" s="3" t="s">
        <v>1</v>
      </c>
      <c r="D147" s="3" t="s">
        <v>2</v>
      </c>
      <c r="E147" s="3" t="s">
        <v>11</v>
      </c>
      <c r="F147" s="3" t="s">
        <v>3</v>
      </c>
      <c r="G147" s="3" t="s">
        <v>9</v>
      </c>
      <c r="H147" s="3" t="s">
        <v>4</v>
      </c>
      <c r="I147" s="3" t="s">
        <v>5</v>
      </c>
      <c r="J147" s="3" t="s">
        <v>10</v>
      </c>
    </row>
    <row r="148" spans="1:1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</row>
    <row r="149" spans="1:11" ht="75" x14ac:dyDescent="0.25">
      <c r="A149" s="9" t="s">
        <v>122</v>
      </c>
      <c r="B149" s="23" t="s">
        <v>123</v>
      </c>
      <c r="C149" s="10" t="s">
        <v>124</v>
      </c>
      <c r="D149" s="18"/>
      <c r="E149" s="12" t="s">
        <v>128</v>
      </c>
      <c r="F149" s="13" t="s">
        <v>126</v>
      </c>
      <c r="G149" s="9" t="s">
        <v>125</v>
      </c>
      <c r="H149" s="11" t="s">
        <v>42</v>
      </c>
      <c r="I149" s="14">
        <v>1</v>
      </c>
      <c r="J149" s="13" t="s">
        <v>126</v>
      </c>
    </row>
    <row r="150" spans="1:11" ht="15.75" thickBot="1" x14ac:dyDescent="0.3">
      <c r="A150" s="25" t="s">
        <v>127</v>
      </c>
      <c r="B150" s="26"/>
      <c r="C150" s="26"/>
      <c r="D150" s="26"/>
      <c r="E150" s="26"/>
      <c r="F150" s="26"/>
      <c r="G150" s="26"/>
      <c r="H150" s="26"/>
      <c r="I150" s="26"/>
      <c r="J150" s="13" t="s">
        <v>126</v>
      </c>
    </row>
    <row r="151" spans="1:11" ht="8.25" customHeight="1" x14ac:dyDescent="0.25"/>
    <row r="152" spans="1:11" ht="37.5" customHeight="1" x14ac:dyDescent="0.25">
      <c r="A152" s="28" t="s">
        <v>129</v>
      </c>
      <c r="B152" s="28"/>
      <c r="C152" s="28"/>
      <c r="D152" s="28"/>
      <c r="E152" s="28"/>
      <c r="F152" s="28"/>
      <c r="G152" s="28"/>
      <c r="H152" s="28"/>
      <c r="I152" s="28"/>
      <c r="J152" s="28"/>
      <c r="K152" s="1"/>
    </row>
  </sheetData>
  <mergeCells count="1">
    <mergeCell ref="A152:J152"/>
  </mergeCells>
  <pageMargins left="0.7" right="0.7" top="0.75" bottom="0.75" header="0.3" footer="0.3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selection activeCell="F12" sqref="F12"/>
    </sheetView>
  </sheetViews>
  <sheetFormatPr defaultRowHeight="15" x14ac:dyDescent="0.25"/>
  <cols>
    <col min="1" max="1" width="12.5703125" customWidth="1"/>
    <col min="2" max="2" width="12" customWidth="1"/>
    <col min="3" max="3" width="11.140625" customWidth="1"/>
    <col min="4" max="4" width="8.28515625" customWidth="1"/>
    <col min="5" max="5" width="28" customWidth="1"/>
    <col min="6" max="6" width="13.140625" customWidth="1"/>
    <col min="7" max="7" width="12" customWidth="1"/>
    <col min="8" max="8" width="9.5703125" customWidth="1"/>
    <col min="9" max="9" width="9.7109375" customWidth="1"/>
    <col min="10" max="10" width="15.42578125" customWidth="1"/>
    <col min="11" max="11" width="5.42578125" customWidth="1"/>
  </cols>
  <sheetData>
    <row r="1" spans="1:10" x14ac:dyDescent="0.25">
      <c r="A1" s="5" t="s">
        <v>8</v>
      </c>
      <c r="B1" s="5"/>
      <c r="C1" s="5"/>
      <c r="D1" s="5"/>
      <c r="E1" s="5"/>
      <c r="F1" s="5"/>
      <c r="G1" s="5"/>
      <c r="H1" s="5"/>
      <c r="I1" s="1"/>
      <c r="J1" s="5"/>
    </row>
    <row r="2" spans="1:10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6</v>
      </c>
    </row>
    <row r="3" spans="1:10" ht="60" x14ac:dyDescent="0.25">
      <c r="A3" s="2" t="s">
        <v>100</v>
      </c>
      <c r="B3" s="3" t="s">
        <v>7</v>
      </c>
      <c r="C3" s="3" t="s">
        <v>1</v>
      </c>
      <c r="D3" s="3" t="s">
        <v>2</v>
      </c>
      <c r="E3" s="3" t="s">
        <v>11</v>
      </c>
      <c r="F3" s="3" t="s">
        <v>3</v>
      </c>
      <c r="G3" s="3" t="s">
        <v>9</v>
      </c>
      <c r="H3" s="3" t="s">
        <v>4</v>
      </c>
      <c r="I3" s="3" t="s">
        <v>5</v>
      </c>
      <c r="J3" s="3" t="s">
        <v>10</v>
      </c>
    </row>
    <row r="4" spans="1:10" ht="92.25" customHeight="1" x14ac:dyDescent="0.25">
      <c r="A4" s="9" t="s">
        <v>101</v>
      </c>
      <c r="B4" s="10" t="s">
        <v>102</v>
      </c>
      <c r="C4" s="10"/>
      <c r="D4" s="11"/>
      <c r="E4" s="12" t="s">
        <v>106</v>
      </c>
      <c r="F4" s="13" t="s">
        <v>104</v>
      </c>
      <c r="G4" s="9" t="s">
        <v>103</v>
      </c>
      <c r="H4" s="11" t="s">
        <v>57</v>
      </c>
      <c r="I4" s="14">
        <v>1</v>
      </c>
      <c r="J4" s="13" t="s">
        <v>104</v>
      </c>
    </row>
    <row r="5" spans="1:10" ht="15.75" thickBot="1" x14ac:dyDescent="0.3">
      <c r="A5" s="6" t="s">
        <v>105</v>
      </c>
      <c r="B5" s="7"/>
      <c r="C5" s="7"/>
      <c r="D5" s="7"/>
      <c r="E5" s="7"/>
      <c r="F5" s="7"/>
      <c r="G5" s="7"/>
      <c r="H5" s="7"/>
      <c r="I5" s="7"/>
      <c r="J5" s="13" t="s">
        <v>104</v>
      </c>
    </row>
    <row r="6" spans="1:10" x14ac:dyDescent="0.25">
      <c r="A6" s="4"/>
      <c r="B6" s="4"/>
      <c r="C6" s="4"/>
      <c r="D6" s="4"/>
      <c r="E6" s="4"/>
      <c r="F6" s="4"/>
      <c r="G6" s="4"/>
      <c r="H6" s="4"/>
      <c r="I6" s="4"/>
      <c r="J6" s="4"/>
    </row>
  </sheetData>
  <pageMargins left="0.7" right="0.7" top="0.75" bottom="0.75" header="0.3" footer="0.3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>
      <selection activeCell="A14" sqref="A14"/>
    </sheetView>
  </sheetViews>
  <sheetFormatPr defaultRowHeight="15" x14ac:dyDescent="0.25"/>
  <cols>
    <col min="1" max="1" width="18.5703125" customWidth="1"/>
  </cols>
  <sheetData>
    <row r="1" spans="1:1" x14ac:dyDescent="0.25">
      <c r="A1">
        <v>756579.7</v>
      </c>
    </row>
    <row r="2" spans="1:1" x14ac:dyDescent="0.25">
      <c r="A2">
        <v>802704.51</v>
      </c>
    </row>
    <row r="3" spans="1:1" x14ac:dyDescent="0.25">
      <c r="A3">
        <v>802530.82</v>
      </c>
    </row>
    <row r="4" spans="1:1" x14ac:dyDescent="0.25">
      <c r="A4">
        <v>967280.42</v>
      </c>
    </row>
    <row r="5" spans="1:1" x14ac:dyDescent="0.25">
      <c r="A5">
        <v>814585.8</v>
      </c>
    </row>
    <row r="6" spans="1:1" x14ac:dyDescent="0.25">
      <c r="A6">
        <v>1460905.54</v>
      </c>
    </row>
    <row r="7" spans="1:1" x14ac:dyDescent="0.25">
      <c r="A7">
        <v>778783.04</v>
      </c>
    </row>
    <row r="8" spans="1:1" x14ac:dyDescent="0.25">
      <c r="A8">
        <v>952165.5</v>
      </c>
    </row>
    <row r="9" spans="1:1" x14ac:dyDescent="0.25">
      <c r="A9">
        <v>840008.55</v>
      </c>
    </row>
    <row r="10" spans="1:1" x14ac:dyDescent="0.25">
      <c r="A10">
        <v>699423.4</v>
      </c>
    </row>
    <row r="13" spans="1:1" x14ac:dyDescent="0.25">
      <c r="A13">
        <f>SUM(A1:A12)</f>
        <v>8874967.2799999993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Misfat Sharmin | Remittance | MIRB</dc:creator>
  <cp:lastModifiedBy>Mrs. Sufia Bint Sayed | Remittance | MIRB</cp:lastModifiedBy>
  <cp:lastPrinted>2026-04-13T12:30:07Z</cp:lastPrinted>
  <dcterms:created xsi:type="dcterms:W3CDTF">2016-10-17T06:37:03Z</dcterms:created>
  <dcterms:modified xsi:type="dcterms:W3CDTF">2026-04-26T05:43:19Z</dcterms:modified>
</cp:coreProperties>
</file>